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M:\frpint app identifier\"/>
    </mc:Choice>
  </mc:AlternateContent>
  <xr:revisionPtr revIDLastSave="0" documentId="13_ncr:1_{FE47BA06-A956-4544-AC2F-28030B30FB50}" xr6:coauthVersionLast="47" xr6:coauthVersionMax="47" xr10:uidLastSave="{00000000-0000-0000-0000-000000000000}"/>
  <bookViews>
    <workbookView xWindow="19090" yWindow="-100" windowWidth="19420" windowHeight="10300" xr2:uid="{76B0C7F0-93B5-4603-B479-452E14715DAA}"/>
  </bookViews>
  <sheets>
    <sheet name="Sheet2" sheetId="2" r:id="rId1"/>
    <sheet name="Sheet1" sheetId="1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G25" i="2" l="1"/>
  <c r="G26" i="2"/>
  <c r="G24" i="2"/>
  <c r="G23" i="2"/>
  <c r="G22" i="2"/>
  <c r="G21" i="2"/>
  <c r="G20" i="2"/>
  <c r="G19" i="2"/>
  <c r="G17" i="2"/>
  <c r="G18" i="2"/>
  <c r="G26" i="1"/>
  <c r="G25" i="1"/>
  <c r="G24" i="1"/>
  <c r="G23" i="1"/>
  <c r="G22" i="1"/>
  <c r="G21" i="1"/>
  <c r="G19" i="1"/>
  <c r="G20" i="1"/>
  <c r="G18" i="1"/>
  <c r="G17" i="1"/>
  <c r="G16" i="2"/>
  <c r="G15" i="2"/>
  <c r="G14" i="2"/>
  <c r="G13" i="2"/>
  <c r="G12" i="2"/>
  <c r="G16" i="1"/>
  <c r="G15" i="1"/>
  <c r="G14" i="1"/>
  <c r="G13" i="1"/>
  <c r="G12" i="1"/>
  <c r="G11" i="2"/>
  <c r="G10" i="2"/>
  <c r="G9" i="2"/>
  <c r="G8" i="2"/>
  <c r="G7" i="2"/>
  <c r="G11" i="1"/>
  <c r="G10" i="1"/>
  <c r="QP9" i="1" a="1"/>
  <c r="QP9" i="1" s="1"/>
  <c r="G9" i="1"/>
  <c r="G8" i="1"/>
  <c r="G7" i="1"/>
  <c r="G6" i="2"/>
  <c r="G5" i="2"/>
  <c r="G4" i="2"/>
  <c r="G3" i="2"/>
  <c r="G2" i="2"/>
  <c r="G2" i="1"/>
  <c r="G6" i="1"/>
  <c r="G5" i="1"/>
  <c r="G4" i="1"/>
  <c r="G3" i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<sst xmlns="http://schemas.openxmlformats.org/spreadsheetml/2006/main" count="678" uniqueCount="43">
  <si>
    <t>ID</t>
  </si>
  <si>
    <t xml:space="preserve">age </t>
  </si>
  <si>
    <t xml:space="preserve">weight </t>
  </si>
  <si>
    <t xml:space="preserve">height </t>
  </si>
  <si>
    <t>gender</t>
  </si>
  <si>
    <t>blood_type</t>
  </si>
  <si>
    <t>bmi</t>
  </si>
  <si>
    <t>left_thumb</t>
  </si>
  <si>
    <t>left_index</t>
  </si>
  <si>
    <t>left_middle</t>
  </si>
  <si>
    <t>left_ring</t>
  </si>
  <si>
    <t>left_pinky</t>
  </si>
  <si>
    <t>right_thumb</t>
  </si>
  <si>
    <t>right_index</t>
  </si>
  <si>
    <t>right_middle</t>
  </si>
  <si>
    <t>right_ring</t>
  </si>
  <si>
    <t>right_pinky</t>
  </si>
  <si>
    <t>diabetic_status</t>
  </si>
  <si>
    <t>male</t>
  </si>
  <si>
    <t>O+</t>
  </si>
  <si>
    <t>whorl</t>
  </si>
  <si>
    <t>arc</t>
  </si>
  <si>
    <t>loop</t>
  </si>
  <si>
    <t>diabetic</t>
  </si>
  <si>
    <t>A+</t>
  </si>
  <si>
    <t>female</t>
  </si>
  <si>
    <t>B-</t>
  </si>
  <si>
    <t>AB</t>
  </si>
  <si>
    <t>B+</t>
  </si>
  <si>
    <t>non-diabetic</t>
  </si>
  <si>
    <t xml:space="preserve">male </t>
  </si>
  <si>
    <t>O</t>
  </si>
  <si>
    <t>AB+</t>
  </si>
  <si>
    <t>mal;e</t>
  </si>
  <si>
    <t xml:space="preserve"> A+</t>
  </si>
  <si>
    <t>AB-</t>
  </si>
  <si>
    <t xml:space="preserve">female </t>
  </si>
  <si>
    <t>O-</t>
  </si>
  <si>
    <t xml:space="preserve"> whorl</t>
  </si>
  <si>
    <t>A</t>
  </si>
  <si>
    <t>Loop</t>
  </si>
  <si>
    <t>weight (kg)</t>
  </si>
  <si>
    <t>height (m)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</si>
</sst>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11"/>
      <color rgb="FFFF0000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5" tint="0.59999389629810485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/>
    <xf numFmtId="0" fontId="0" fillId="2" borderId="0" xfId="0" applyFill="1"/>
    <xf numFmtId="0" fontId="0" fillId="0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eetMetadata" Target="metadata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3168C4-D4F3-428D-8586-4D3DC91AB512}">
  <dimension ref="A1:R26"/>
  <sheetViews>
    <sheetView tabSelected="1" workbookViewId="0">
      <selection activeCell="H8" sqref="H8"/>
    </sheetView>
  </sheetViews>
  <sheetFormatPr defaultRowHeight="15" x14ac:dyDescent="0.25"/>
  <cols>
    <col min="6" max="6" width="14.42578125" customWidth="1"/>
    <col min="8" max="8" width="14.28515625" customWidth="1"/>
    <col min="9" max="9" width="10.28515625" customWidth="1"/>
    <col min="10" max="10" width="12.28515625" customWidth="1"/>
    <col min="11" max="11" width="10.5703125" customWidth="1"/>
    <col min="12" max="12" width="9.85546875" customWidth="1"/>
    <col min="13" max="13" width="12.7109375" customWidth="1"/>
    <col min="14" max="14" width="13.140625" customWidth="1"/>
    <col min="15" max="15" width="14.5703125" customWidth="1"/>
    <col min="16" max="16" width="11.140625" customWidth="1"/>
    <col min="17" max="17" width="11.85546875" customWidth="1"/>
    <col min="18" max="18" width="14.140625" customWidth="1"/>
  </cols>
  <sheetData>
    <row r="1" spans="1:18" x14ac:dyDescent="0.25">
      <c r="A1" t="s">
        <v>0</v>
      </c>
      <c r="B1" t="s">
        <v>1</v>
      </c>
      <c r="C1" t="s">
        <v>41</v>
      </c>
      <c r="D1" t="s">
        <v>42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</row>
    <row r="2" spans="1:18" x14ac:dyDescent="0.25">
      <c r="A2">
        <v>1</v>
      </c>
      <c r="B2">
        <v>21</v>
      </c>
      <c r="C2">
        <v>63</v>
      </c>
      <c r="D2">
        <v>1.6763999999999999</v>
      </c>
      <c r="E2" t="s">
        <v>18</v>
      </c>
      <c r="F2" t="s">
        <v>28</v>
      </c>
      <c r="G2">
        <f t="shared" ref="G2:G24" si="0">(C2)/D2^2</f>
        <v>22.417400206701242</v>
      </c>
      <c r="H2" t="s">
        <v>21</v>
      </c>
      <c r="I2" t="s">
        <v>22</v>
      </c>
      <c r="J2" t="s">
        <v>22</v>
      </c>
      <c r="K2" t="s">
        <v>22</v>
      </c>
      <c r="L2" t="s">
        <v>22</v>
      </c>
      <c r="M2" t="s">
        <v>21</v>
      </c>
      <c r="N2" t="s">
        <v>22</v>
      </c>
      <c r="O2" t="s">
        <v>21</v>
      </c>
      <c r="P2" t="s">
        <v>21</v>
      </c>
      <c r="Q2" t="s">
        <v>22</v>
      </c>
      <c r="R2" t="s">
        <v>29</v>
      </c>
    </row>
    <row r="3" spans="1:18" x14ac:dyDescent="0.25">
      <c r="A3">
        <v>2</v>
      </c>
      <c r="B3">
        <v>47</v>
      </c>
      <c r="C3">
        <v>100</v>
      </c>
      <c r="D3">
        <v>1.6383000000000001</v>
      </c>
      <c r="E3" t="s">
        <v>30</v>
      </c>
      <c r="F3" t="s">
        <v>28</v>
      </c>
      <c r="G3">
        <f t="shared" si="0"/>
        <v>37.257450874495518</v>
      </c>
      <c r="H3" t="s">
        <v>22</v>
      </c>
      <c r="I3" t="s">
        <v>22</v>
      </c>
      <c r="J3" t="s">
        <v>22</v>
      </c>
      <c r="K3" t="s">
        <v>20</v>
      </c>
      <c r="L3" t="s">
        <v>20</v>
      </c>
      <c r="M3" t="s">
        <v>22</v>
      </c>
      <c r="N3" t="s">
        <v>22</v>
      </c>
      <c r="O3" t="s">
        <v>22</v>
      </c>
      <c r="P3" t="s">
        <v>22</v>
      </c>
      <c r="Q3" t="s">
        <v>22</v>
      </c>
      <c r="R3" t="s">
        <v>29</v>
      </c>
    </row>
    <row r="4" spans="1:18" x14ac:dyDescent="0.25">
      <c r="A4">
        <v>3</v>
      </c>
      <c r="B4">
        <v>43</v>
      </c>
      <c r="C4">
        <v>50</v>
      </c>
      <c r="D4">
        <v>1.524</v>
      </c>
      <c r="E4" t="s">
        <v>25</v>
      </c>
      <c r="F4" t="s">
        <v>19</v>
      </c>
      <c r="G4">
        <f t="shared" si="0"/>
        <v>21.527820833419444</v>
      </c>
      <c r="H4" t="s">
        <v>21</v>
      </c>
      <c r="I4" t="s">
        <v>22</v>
      </c>
      <c r="J4" t="s">
        <v>21</v>
      </c>
      <c r="K4" t="s">
        <v>21</v>
      </c>
      <c r="L4" t="s">
        <v>22</v>
      </c>
      <c r="M4" t="s">
        <v>21</v>
      </c>
      <c r="N4" t="s">
        <v>22</v>
      </c>
      <c r="O4" t="s">
        <v>22</v>
      </c>
      <c r="P4" t="s">
        <v>22</v>
      </c>
      <c r="Q4" t="s">
        <v>20</v>
      </c>
      <c r="R4" t="s">
        <v>29</v>
      </c>
    </row>
    <row r="5" spans="1:18" x14ac:dyDescent="0.25">
      <c r="A5">
        <v>4</v>
      </c>
      <c r="B5">
        <v>47</v>
      </c>
      <c r="C5">
        <v>50</v>
      </c>
      <c r="D5">
        <v>1.651</v>
      </c>
      <c r="E5" t="s">
        <v>18</v>
      </c>
      <c r="F5" t="s">
        <v>19</v>
      </c>
      <c r="G5">
        <f t="shared" si="0"/>
        <v>18.343231952736094</v>
      </c>
      <c r="H5" t="s">
        <v>22</v>
      </c>
      <c r="I5" t="s">
        <v>22</v>
      </c>
      <c r="J5" t="s">
        <v>21</v>
      </c>
      <c r="K5" t="s">
        <v>22</v>
      </c>
      <c r="L5" t="s">
        <v>22</v>
      </c>
      <c r="M5" t="s">
        <v>22</v>
      </c>
      <c r="N5" t="s">
        <v>22</v>
      </c>
      <c r="O5" t="s">
        <v>21</v>
      </c>
      <c r="P5" t="s">
        <v>22</v>
      </c>
      <c r="Q5" t="s">
        <v>22</v>
      </c>
      <c r="R5" t="s">
        <v>29</v>
      </c>
    </row>
    <row r="6" spans="1:18" x14ac:dyDescent="0.25">
      <c r="A6">
        <v>5</v>
      </c>
      <c r="B6">
        <v>33</v>
      </c>
      <c r="C6">
        <v>86</v>
      </c>
      <c r="D6">
        <v>1.651</v>
      </c>
      <c r="E6" t="s">
        <v>18</v>
      </c>
      <c r="F6" s="2"/>
      <c r="G6">
        <f t="shared" si="0"/>
        <v>31.550358958706081</v>
      </c>
      <c r="H6" t="s">
        <v>20</v>
      </c>
      <c r="I6" t="s">
        <v>20</v>
      </c>
      <c r="J6" t="s">
        <v>20</v>
      </c>
      <c r="K6" t="s">
        <v>20</v>
      </c>
      <c r="L6" t="s">
        <v>20</v>
      </c>
      <c r="M6" t="s">
        <v>22</v>
      </c>
      <c r="N6" t="s">
        <v>22</v>
      </c>
      <c r="O6" t="s">
        <v>22</v>
      </c>
      <c r="P6" t="s">
        <v>22</v>
      </c>
      <c r="Q6" t="s">
        <v>22</v>
      </c>
      <c r="R6" t="s">
        <v>29</v>
      </c>
    </row>
    <row r="7" spans="1:18" x14ac:dyDescent="0.25">
      <c r="A7">
        <v>6</v>
      </c>
      <c r="B7">
        <v>26</v>
      </c>
      <c r="C7">
        <v>76</v>
      </c>
      <c r="D7">
        <v>1.6763999999999999</v>
      </c>
      <c r="E7" t="s">
        <v>18</v>
      </c>
      <c r="F7" t="s">
        <v>32</v>
      </c>
      <c r="G7">
        <f t="shared" si="0"/>
        <v>27.043212947766577</v>
      </c>
      <c r="H7" t="s">
        <v>22</v>
      </c>
      <c r="I7" t="s">
        <v>20</v>
      </c>
      <c r="J7" t="s">
        <v>22</v>
      </c>
      <c r="K7" t="s">
        <v>20</v>
      </c>
      <c r="L7" t="s">
        <v>20</v>
      </c>
      <c r="M7" t="s">
        <v>22</v>
      </c>
      <c r="N7" t="s">
        <v>20</v>
      </c>
      <c r="O7" t="s">
        <v>22</v>
      </c>
      <c r="P7" t="s">
        <v>22</v>
      </c>
      <c r="Q7" t="s">
        <v>22</v>
      </c>
      <c r="R7" t="s">
        <v>29</v>
      </c>
    </row>
    <row r="8" spans="1:18" x14ac:dyDescent="0.25">
      <c r="A8">
        <v>7</v>
      </c>
      <c r="B8">
        <v>73</v>
      </c>
      <c r="C8">
        <v>45</v>
      </c>
      <c r="D8">
        <v>1.5849599999999999</v>
      </c>
      <c r="E8" t="s">
        <v>18</v>
      </c>
      <c r="F8" t="s">
        <v>28</v>
      </c>
      <c r="G8">
        <f t="shared" si="0"/>
        <v>17.913312453843844</v>
      </c>
      <c r="H8" t="s">
        <v>22</v>
      </c>
      <c r="I8" t="s">
        <v>21</v>
      </c>
      <c r="J8" t="s">
        <v>22</v>
      </c>
      <c r="K8" t="s">
        <v>22</v>
      </c>
      <c r="L8" t="s">
        <v>22</v>
      </c>
      <c r="M8" t="s">
        <v>21</v>
      </c>
      <c r="N8" t="s">
        <v>21</v>
      </c>
      <c r="O8" t="s">
        <v>21</v>
      </c>
      <c r="P8" t="s">
        <v>21</v>
      </c>
      <c r="Q8" t="s">
        <v>22</v>
      </c>
      <c r="R8" t="s">
        <v>29</v>
      </c>
    </row>
    <row r="9" spans="1:18" x14ac:dyDescent="0.25">
      <c r="A9">
        <v>8</v>
      </c>
      <c r="B9">
        <v>54</v>
      </c>
      <c r="C9">
        <v>80</v>
      </c>
      <c r="D9">
        <v>1.6763999999999999</v>
      </c>
      <c r="E9" t="s">
        <v>18</v>
      </c>
      <c r="F9" t="s">
        <v>28</v>
      </c>
      <c r="G9">
        <f t="shared" si="0"/>
        <v>28.466539945017448</v>
      </c>
      <c r="H9" t="s">
        <v>22</v>
      </c>
      <c r="I9" t="s">
        <v>22</v>
      </c>
      <c r="J9" t="s">
        <v>22</v>
      </c>
      <c r="K9" t="s">
        <v>20</v>
      </c>
      <c r="L9" t="s">
        <v>20</v>
      </c>
      <c r="M9" t="s">
        <v>22</v>
      </c>
      <c r="N9" t="s">
        <v>22</v>
      </c>
      <c r="O9" t="s">
        <v>22</v>
      </c>
      <c r="P9" t="s">
        <v>22</v>
      </c>
      <c r="Q9" t="s">
        <v>22</v>
      </c>
      <c r="R9" t="s">
        <v>29</v>
      </c>
    </row>
    <row r="10" spans="1:18" x14ac:dyDescent="0.25">
      <c r="A10">
        <v>9</v>
      </c>
      <c r="B10">
        <v>26</v>
      </c>
      <c r="C10">
        <v>55</v>
      </c>
      <c r="D10">
        <v>1.6763999999999999</v>
      </c>
      <c r="E10" t="s">
        <v>33</v>
      </c>
      <c r="F10" t="s">
        <v>31</v>
      </c>
      <c r="G10">
        <f t="shared" si="0"/>
        <v>19.570746212199495</v>
      </c>
      <c r="H10" t="s">
        <v>22</v>
      </c>
      <c r="I10" t="s">
        <v>20</v>
      </c>
      <c r="J10" t="s">
        <v>22</v>
      </c>
      <c r="K10" t="s">
        <v>20</v>
      </c>
      <c r="L10" t="s">
        <v>20</v>
      </c>
      <c r="M10" t="s">
        <v>22</v>
      </c>
      <c r="N10" t="s">
        <v>20</v>
      </c>
      <c r="O10" t="s">
        <v>22</v>
      </c>
      <c r="P10" t="s">
        <v>22</v>
      </c>
      <c r="Q10" t="s">
        <v>22</v>
      </c>
      <c r="R10" t="s">
        <v>29</v>
      </c>
    </row>
    <row r="11" spans="1:18" x14ac:dyDescent="0.25">
      <c r="A11">
        <v>10</v>
      </c>
      <c r="B11">
        <v>36</v>
      </c>
      <c r="C11">
        <v>60</v>
      </c>
      <c r="D11">
        <v>1.5367</v>
      </c>
      <c r="E11" t="s">
        <v>18</v>
      </c>
      <c r="F11" t="s">
        <v>19</v>
      </c>
      <c r="G11">
        <f t="shared" si="0"/>
        <v>25.408151355883344</v>
      </c>
      <c r="H11" t="s">
        <v>22</v>
      </c>
      <c r="I11" t="s">
        <v>20</v>
      </c>
      <c r="J11" t="s">
        <v>22</v>
      </c>
      <c r="K11" t="s">
        <v>20</v>
      </c>
      <c r="L11" t="s">
        <v>20</v>
      </c>
      <c r="M11" t="s">
        <v>22</v>
      </c>
      <c r="N11" t="s">
        <v>20</v>
      </c>
      <c r="O11" t="s">
        <v>22</v>
      </c>
      <c r="P11" t="s">
        <v>20</v>
      </c>
      <c r="Q11" t="s">
        <v>22</v>
      </c>
      <c r="R11" t="s">
        <v>29</v>
      </c>
    </row>
    <row r="12" spans="1:18" x14ac:dyDescent="0.25">
      <c r="A12">
        <v>11</v>
      </c>
      <c r="B12">
        <v>19</v>
      </c>
      <c r="C12">
        <v>43</v>
      </c>
      <c r="D12">
        <v>1.524</v>
      </c>
      <c r="E12" t="s">
        <v>36</v>
      </c>
      <c r="F12" t="s">
        <v>19</v>
      </c>
      <c r="G12">
        <f t="shared" si="0"/>
        <v>18.513925916740721</v>
      </c>
      <c r="H12" t="s">
        <v>22</v>
      </c>
      <c r="I12" t="s">
        <v>20</v>
      </c>
      <c r="J12" t="s">
        <v>22</v>
      </c>
      <c r="K12" t="s">
        <v>20</v>
      </c>
      <c r="L12" t="s">
        <v>22</v>
      </c>
      <c r="M12" t="s">
        <v>20</v>
      </c>
      <c r="N12" t="s">
        <v>22</v>
      </c>
      <c r="O12" t="s">
        <v>20</v>
      </c>
      <c r="P12" t="s">
        <v>20</v>
      </c>
      <c r="Q12" t="s">
        <v>20</v>
      </c>
      <c r="R12" t="s">
        <v>29</v>
      </c>
    </row>
    <row r="13" spans="1:18" x14ac:dyDescent="0.25">
      <c r="A13">
        <v>12</v>
      </c>
      <c r="B13">
        <v>50</v>
      </c>
      <c r="C13">
        <v>75</v>
      </c>
      <c r="D13">
        <v>1.524</v>
      </c>
      <c r="E13" t="s">
        <v>36</v>
      </c>
      <c r="F13" t="s">
        <v>31</v>
      </c>
      <c r="G13">
        <f t="shared" si="0"/>
        <v>32.291731250129168</v>
      </c>
      <c r="H13" t="s">
        <v>22</v>
      </c>
      <c r="I13" t="s">
        <v>22</v>
      </c>
      <c r="J13" t="s">
        <v>22</v>
      </c>
      <c r="K13" t="s">
        <v>20</v>
      </c>
      <c r="L13" t="s">
        <v>22</v>
      </c>
      <c r="M13" t="s">
        <v>22</v>
      </c>
      <c r="N13" t="s">
        <v>22</v>
      </c>
      <c r="O13" t="s">
        <v>22</v>
      </c>
      <c r="P13" t="s">
        <v>22</v>
      </c>
      <c r="Q13" t="s">
        <v>22</v>
      </c>
      <c r="R13" t="s">
        <v>29</v>
      </c>
    </row>
    <row r="14" spans="1:18" x14ac:dyDescent="0.25">
      <c r="A14">
        <v>13</v>
      </c>
      <c r="B14">
        <v>53</v>
      </c>
      <c r="C14">
        <v>62</v>
      </c>
      <c r="D14">
        <v>1.73736</v>
      </c>
      <c r="E14" t="s">
        <v>18</v>
      </c>
      <c r="F14" t="s">
        <v>31</v>
      </c>
      <c r="G14">
        <f t="shared" si="0"/>
        <v>20.540549271652903</v>
      </c>
      <c r="H14" t="s">
        <v>20</v>
      </c>
      <c r="I14" t="s">
        <v>22</v>
      </c>
      <c r="J14" t="s">
        <v>22</v>
      </c>
      <c r="K14" t="s">
        <v>22</v>
      </c>
      <c r="L14" t="s">
        <v>20</v>
      </c>
      <c r="M14" t="s">
        <v>22</v>
      </c>
      <c r="N14" t="s">
        <v>20</v>
      </c>
      <c r="O14" t="s">
        <v>22</v>
      </c>
      <c r="P14" t="s">
        <v>21</v>
      </c>
      <c r="Q14" t="s">
        <v>22</v>
      </c>
      <c r="R14" t="s">
        <v>29</v>
      </c>
    </row>
    <row r="15" spans="1:18" x14ac:dyDescent="0.25">
      <c r="A15">
        <v>14</v>
      </c>
      <c r="B15">
        <v>50</v>
      </c>
      <c r="C15">
        <v>52</v>
      </c>
      <c r="D15">
        <v>1.70688</v>
      </c>
      <c r="E15" t="s">
        <v>25</v>
      </c>
      <c r="F15" t="s">
        <v>27</v>
      </c>
      <c r="G15">
        <f t="shared" si="0"/>
        <v>17.848320844033978</v>
      </c>
      <c r="H15" t="s">
        <v>20</v>
      </c>
      <c r="I15" t="s">
        <v>22</v>
      </c>
      <c r="J15" t="s">
        <v>22</v>
      </c>
      <c r="K15" t="s">
        <v>20</v>
      </c>
      <c r="L15" t="s">
        <v>21</v>
      </c>
      <c r="M15" t="s">
        <v>22</v>
      </c>
      <c r="N15" t="s">
        <v>22</v>
      </c>
      <c r="O15" t="s">
        <v>22</v>
      </c>
      <c r="P15" t="s">
        <v>21</v>
      </c>
      <c r="Q15" t="s">
        <v>22</v>
      </c>
      <c r="R15" t="s">
        <v>29</v>
      </c>
    </row>
    <row r="16" spans="1:18" x14ac:dyDescent="0.25">
      <c r="A16">
        <v>15</v>
      </c>
      <c r="B16">
        <v>48</v>
      </c>
      <c r="C16">
        <v>45</v>
      </c>
      <c r="D16">
        <v>1.524</v>
      </c>
      <c r="E16" t="s">
        <v>25</v>
      </c>
      <c r="F16" t="s">
        <v>31</v>
      </c>
      <c r="G16">
        <f t="shared" si="0"/>
        <v>19.375038750077497</v>
      </c>
      <c r="H16" t="s">
        <v>22</v>
      </c>
      <c r="I16" t="s">
        <v>21</v>
      </c>
      <c r="J16" t="s">
        <v>22</v>
      </c>
      <c r="K16" t="s">
        <v>22</v>
      </c>
      <c r="L16" t="s">
        <v>22</v>
      </c>
      <c r="M16" t="s">
        <v>22</v>
      </c>
      <c r="N16" t="s">
        <v>22</v>
      </c>
      <c r="O16" t="s">
        <v>22</v>
      </c>
      <c r="P16" t="s">
        <v>20</v>
      </c>
      <c r="Q16" t="s">
        <v>20</v>
      </c>
      <c r="R16" t="s">
        <v>29</v>
      </c>
    </row>
    <row r="17" spans="1:18" x14ac:dyDescent="0.25">
      <c r="A17">
        <v>16</v>
      </c>
      <c r="B17">
        <v>23</v>
      </c>
      <c r="C17">
        <v>60</v>
      </c>
      <c r="D17">
        <v>1.5849599999999999</v>
      </c>
      <c r="E17" t="s">
        <v>25</v>
      </c>
      <c r="F17" t="s">
        <v>31</v>
      </c>
      <c r="G17">
        <f>(C17)/D17^2</f>
        <v>23.884416605125125</v>
      </c>
      <c r="H17" t="s">
        <v>20</v>
      </c>
      <c r="I17" t="s">
        <v>22</v>
      </c>
      <c r="J17" t="s">
        <v>22</v>
      </c>
      <c r="K17" t="s">
        <v>22</v>
      </c>
      <c r="L17" t="s">
        <v>22</v>
      </c>
      <c r="M17" t="s">
        <v>22</v>
      </c>
      <c r="N17" t="s">
        <v>22</v>
      </c>
      <c r="O17" t="s">
        <v>22</v>
      </c>
      <c r="P17" t="s">
        <v>22</v>
      </c>
      <c r="Q17" t="s">
        <v>20</v>
      </c>
      <c r="R17" t="s">
        <v>29</v>
      </c>
    </row>
    <row r="18" spans="1:18" x14ac:dyDescent="0.25">
      <c r="A18">
        <v>17</v>
      </c>
      <c r="B18">
        <v>17</v>
      </c>
      <c r="C18">
        <v>41</v>
      </c>
      <c r="D18">
        <v>1.524</v>
      </c>
      <c r="E18" t="s">
        <v>25</v>
      </c>
      <c r="F18" s="2"/>
      <c r="G18">
        <f t="shared" si="0"/>
        <v>17.652813083403942</v>
      </c>
      <c r="H18" t="s">
        <v>22</v>
      </c>
      <c r="I18" t="s">
        <v>20</v>
      </c>
      <c r="J18" t="s">
        <v>20</v>
      </c>
      <c r="K18" t="s">
        <v>20</v>
      </c>
      <c r="L18" t="s">
        <v>20</v>
      </c>
      <c r="M18" t="s">
        <v>22</v>
      </c>
      <c r="N18" t="s">
        <v>20</v>
      </c>
      <c r="O18" t="s">
        <v>20</v>
      </c>
      <c r="P18" t="s">
        <v>22</v>
      </c>
      <c r="Q18" t="s">
        <v>20</v>
      </c>
      <c r="R18" t="s">
        <v>29</v>
      </c>
    </row>
    <row r="19" spans="1:18" x14ac:dyDescent="0.25">
      <c r="A19">
        <v>18</v>
      </c>
      <c r="B19">
        <v>32</v>
      </c>
      <c r="C19">
        <v>50</v>
      </c>
      <c r="D19">
        <v>1.70688</v>
      </c>
      <c r="E19" t="s">
        <v>18</v>
      </c>
      <c r="F19" s="2"/>
      <c r="G19">
        <f t="shared" si="0"/>
        <v>17.161846965417286</v>
      </c>
      <c r="H19" t="s">
        <v>22</v>
      </c>
      <c r="I19" t="s">
        <v>20</v>
      </c>
      <c r="J19" t="s">
        <v>20</v>
      </c>
      <c r="K19" t="s">
        <v>20</v>
      </c>
      <c r="L19" t="s">
        <v>22</v>
      </c>
      <c r="M19" t="s">
        <v>22</v>
      </c>
      <c r="N19" t="s">
        <v>20</v>
      </c>
      <c r="O19" t="s">
        <v>20</v>
      </c>
      <c r="P19" t="s">
        <v>20</v>
      </c>
      <c r="Q19" t="s">
        <v>20</v>
      </c>
      <c r="R19" t="s">
        <v>29</v>
      </c>
    </row>
    <row r="20" spans="1:18" x14ac:dyDescent="0.25">
      <c r="A20">
        <v>19</v>
      </c>
      <c r="B20">
        <v>49</v>
      </c>
      <c r="C20">
        <v>50</v>
      </c>
      <c r="D20">
        <v>1.5544800000000001</v>
      </c>
      <c r="E20" t="s">
        <v>18</v>
      </c>
      <c r="F20" s="2"/>
      <c r="G20">
        <f t="shared" si="0"/>
        <v>20.691869313167476</v>
      </c>
      <c r="H20" t="s">
        <v>20</v>
      </c>
      <c r="I20" t="s">
        <v>22</v>
      </c>
      <c r="J20" t="s">
        <v>22</v>
      </c>
      <c r="K20" t="s">
        <v>20</v>
      </c>
      <c r="L20" t="s">
        <v>22</v>
      </c>
      <c r="M20" t="s">
        <v>22</v>
      </c>
      <c r="N20" t="s">
        <v>22</v>
      </c>
      <c r="O20" t="s">
        <v>22</v>
      </c>
      <c r="P20" t="s">
        <v>22</v>
      </c>
      <c r="Q20" t="s">
        <v>22</v>
      </c>
      <c r="R20" t="s">
        <v>29</v>
      </c>
    </row>
    <row r="21" spans="1:18" x14ac:dyDescent="0.25">
      <c r="A21">
        <v>20</v>
      </c>
      <c r="B21">
        <v>40</v>
      </c>
      <c r="C21">
        <v>63</v>
      </c>
      <c r="D21">
        <v>1.6763999999999999</v>
      </c>
      <c r="E21" t="s">
        <v>18</v>
      </c>
      <c r="F21" t="s">
        <v>27</v>
      </c>
      <c r="G21">
        <f t="shared" si="0"/>
        <v>22.417400206701242</v>
      </c>
      <c r="H21" t="s">
        <v>22</v>
      </c>
      <c r="I21" t="s">
        <v>22</v>
      </c>
      <c r="J21" t="s">
        <v>20</v>
      </c>
      <c r="K21" t="s">
        <v>22</v>
      </c>
      <c r="L21" t="s">
        <v>22</v>
      </c>
      <c r="M21" t="s">
        <v>22</v>
      </c>
      <c r="N21" t="s">
        <v>22</v>
      </c>
      <c r="O21" t="s">
        <v>22</v>
      </c>
      <c r="P21" t="s">
        <v>22</v>
      </c>
      <c r="Q21" t="s">
        <v>22</v>
      </c>
      <c r="R21" t="s">
        <v>29</v>
      </c>
    </row>
    <row r="22" spans="1:18" x14ac:dyDescent="0.25">
      <c r="A22">
        <v>21</v>
      </c>
      <c r="B22">
        <v>35</v>
      </c>
      <c r="C22">
        <v>47</v>
      </c>
      <c r="D22">
        <v>1.7983199999999999</v>
      </c>
      <c r="E22" t="s">
        <v>25</v>
      </c>
      <c r="F22" t="s">
        <v>31</v>
      </c>
      <c r="G22">
        <f t="shared" si="0"/>
        <v>14.53328898550293</v>
      </c>
      <c r="H22" t="s">
        <v>22</v>
      </c>
      <c r="I22" t="s">
        <v>20</v>
      </c>
      <c r="J22" t="s">
        <v>20</v>
      </c>
      <c r="K22" t="s">
        <v>20</v>
      </c>
      <c r="L22" t="s">
        <v>22</v>
      </c>
      <c r="M22" t="s">
        <v>20</v>
      </c>
      <c r="N22" t="s">
        <v>20</v>
      </c>
      <c r="O22" t="s">
        <v>20</v>
      </c>
      <c r="P22" t="s">
        <v>20</v>
      </c>
      <c r="Q22" t="s">
        <v>20</v>
      </c>
      <c r="R22" t="s">
        <v>29</v>
      </c>
    </row>
    <row r="23" spans="1:18" x14ac:dyDescent="0.25">
      <c r="A23">
        <v>22</v>
      </c>
      <c r="B23">
        <v>58</v>
      </c>
      <c r="C23">
        <v>50</v>
      </c>
      <c r="D23">
        <v>1.73736</v>
      </c>
      <c r="E23" t="s">
        <v>18</v>
      </c>
      <c r="F23" t="s">
        <v>39</v>
      </c>
      <c r="G23">
        <f t="shared" si="0"/>
        <v>16.564959090042663</v>
      </c>
      <c r="H23" t="s">
        <v>20</v>
      </c>
      <c r="I23" t="s">
        <v>22</v>
      </c>
      <c r="J23" t="s">
        <v>22</v>
      </c>
      <c r="K23" t="s">
        <v>21</v>
      </c>
      <c r="L23" t="s">
        <v>21</v>
      </c>
      <c r="M23" t="s">
        <v>22</v>
      </c>
      <c r="N23" t="s">
        <v>22</v>
      </c>
      <c r="O23" t="s">
        <v>22</v>
      </c>
      <c r="P23" t="s">
        <v>22</v>
      </c>
      <c r="Q23" t="s">
        <v>20</v>
      </c>
      <c r="R23" t="s">
        <v>29</v>
      </c>
    </row>
    <row r="24" spans="1:18" x14ac:dyDescent="0.25">
      <c r="A24">
        <v>23</v>
      </c>
      <c r="B24">
        <v>45</v>
      </c>
      <c r="C24">
        <v>75</v>
      </c>
      <c r="D24">
        <v>1.7907</v>
      </c>
      <c r="E24" t="s">
        <v>30</v>
      </c>
      <c r="F24" t="s">
        <v>27</v>
      </c>
      <c r="G24">
        <f>(C24)/D24^2</f>
        <v>23.389212313357476</v>
      </c>
      <c r="H24" t="s">
        <v>20</v>
      </c>
      <c r="I24" t="s">
        <v>40</v>
      </c>
      <c r="J24" t="s">
        <v>22</v>
      </c>
      <c r="K24" t="s">
        <v>22</v>
      </c>
      <c r="L24" t="s">
        <v>22</v>
      </c>
      <c r="M24" t="s">
        <v>22</v>
      </c>
      <c r="N24" t="s">
        <v>22</v>
      </c>
      <c r="O24" t="s">
        <v>22</v>
      </c>
      <c r="P24" t="s">
        <v>22</v>
      </c>
      <c r="Q24" t="s">
        <v>22</v>
      </c>
      <c r="R24" t="s">
        <v>29</v>
      </c>
    </row>
    <row r="25" spans="1:18" x14ac:dyDescent="0.25">
      <c r="A25">
        <v>24</v>
      </c>
      <c r="B25">
        <v>69</v>
      </c>
      <c r="C25">
        <v>56</v>
      </c>
      <c r="D25">
        <v>1.64592</v>
      </c>
      <c r="E25" t="s">
        <v>25</v>
      </c>
      <c r="F25" t="s">
        <v>39</v>
      </c>
      <c r="G25">
        <f>(C25)/D25^2</f>
        <v>20.671432899031018</v>
      </c>
      <c r="H25" t="s">
        <v>21</v>
      </c>
      <c r="I25" t="s">
        <v>22</v>
      </c>
      <c r="J25" t="s">
        <v>20</v>
      </c>
      <c r="K25" t="s">
        <v>20</v>
      </c>
      <c r="L25" t="s">
        <v>22</v>
      </c>
      <c r="M25" t="s">
        <v>21</v>
      </c>
      <c r="N25" t="s">
        <v>21</v>
      </c>
      <c r="O25" t="s">
        <v>22</v>
      </c>
      <c r="P25" t="s">
        <v>22</v>
      </c>
      <c r="Q25" t="s">
        <v>22</v>
      </c>
      <c r="R25" t="s">
        <v>29</v>
      </c>
    </row>
    <row r="26" spans="1:18" x14ac:dyDescent="0.25">
      <c r="A26">
        <v>25</v>
      </c>
      <c r="B26">
        <v>27</v>
      </c>
      <c r="C26">
        <v>90</v>
      </c>
      <c r="D26">
        <v>1.7907</v>
      </c>
      <c r="E26" t="s">
        <v>18</v>
      </c>
      <c r="F26" t="s">
        <v>27</v>
      </c>
      <c r="G26">
        <f>(C26)/D26^2</f>
        <v>28.067054776028971</v>
      </c>
      <c r="H26" t="s">
        <v>22</v>
      </c>
      <c r="I26" t="s">
        <v>20</v>
      </c>
      <c r="J26" t="s">
        <v>20</v>
      </c>
      <c r="K26" t="s">
        <v>22</v>
      </c>
      <c r="L26" t="s">
        <v>22</v>
      </c>
      <c r="M26" t="s">
        <v>20</v>
      </c>
      <c r="N26" t="s">
        <v>20</v>
      </c>
      <c r="O26" t="s">
        <v>22</v>
      </c>
      <c r="P26" t="s">
        <v>22</v>
      </c>
      <c r="Q26" t="s">
        <v>22</v>
      </c>
      <c r="R26" t="s">
        <v>29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7EE5D2-3777-4E18-9C49-7CFA6C134FCB}">
  <dimension ref="A1:QP26"/>
  <sheetViews>
    <sheetView workbookViewId="0">
      <selection activeCell="F11" sqref="F11"/>
    </sheetView>
  </sheetViews>
  <sheetFormatPr defaultRowHeight="15" x14ac:dyDescent="0.25"/>
  <cols>
    <col min="6" max="6" width="13" customWidth="1"/>
    <col min="7" max="7" width="12" bestFit="1" customWidth="1"/>
    <col min="8" max="8" width="12" customWidth="1"/>
    <col min="9" max="9" width="11.5703125" customWidth="1"/>
    <col min="10" max="10" width="12.140625" customWidth="1"/>
    <col min="11" max="11" width="15.85546875" customWidth="1"/>
    <col min="12" max="12" width="13.85546875" customWidth="1"/>
    <col min="13" max="13" width="12.140625" customWidth="1"/>
    <col min="14" max="14" width="12.7109375" customWidth="1"/>
    <col min="15" max="15" width="13.28515625" customWidth="1"/>
    <col min="16" max="16" width="12.85546875" customWidth="1"/>
    <col min="17" max="17" width="11.5703125" customWidth="1"/>
    <col min="18" max="18" width="14.5703125" bestFit="1" customWidth="1"/>
  </cols>
  <sheetData>
    <row r="1" spans="1:45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</row>
    <row r="2" spans="1:458" x14ac:dyDescent="0.25">
      <c r="A2">
        <v>1</v>
      </c>
      <c r="B2">
        <v>30</v>
      </c>
      <c r="C2">
        <v>70</v>
      </c>
      <c r="D2">
        <v>1.6763999999999999</v>
      </c>
      <c r="E2" t="s">
        <v>18</v>
      </c>
      <c r="F2" t="s">
        <v>19</v>
      </c>
      <c r="G2">
        <f t="shared" ref="G2:G26" si="0">(C2)/D2^2</f>
        <v>24.908222451890268</v>
      </c>
      <c r="H2" t="s">
        <v>20</v>
      </c>
      <c r="I2" t="s">
        <v>20</v>
      </c>
      <c r="J2" t="s">
        <v>22</v>
      </c>
      <c r="K2" t="s">
        <v>22</v>
      </c>
      <c r="L2" t="s">
        <v>22</v>
      </c>
      <c r="M2" t="s">
        <v>22</v>
      </c>
      <c r="N2" t="s">
        <v>22</v>
      </c>
      <c r="O2" t="s">
        <v>22</v>
      </c>
      <c r="P2" t="s">
        <v>22</v>
      </c>
      <c r="Q2" t="s">
        <v>22</v>
      </c>
      <c r="R2" t="s">
        <v>23</v>
      </c>
    </row>
    <row r="3" spans="1:458" x14ac:dyDescent="0.25">
      <c r="A3">
        <v>2</v>
      </c>
      <c r="B3">
        <v>65</v>
      </c>
      <c r="C3">
        <v>75</v>
      </c>
      <c r="D3">
        <v>1.651</v>
      </c>
      <c r="E3" t="s">
        <v>18</v>
      </c>
      <c r="F3" t="s">
        <v>24</v>
      </c>
      <c r="G3">
        <f t="shared" si="0"/>
        <v>27.514847929104143</v>
      </c>
      <c r="H3" t="s">
        <v>21</v>
      </c>
      <c r="I3" t="s">
        <v>21</v>
      </c>
      <c r="J3" t="s">
        <v>21</v>
      </c>
      <c r="K3" t="s">
        <v>21</v>
      </c>
      <c r="L3" t="s">
        <v>21</v>
      </c>
      <c r="M3" t="s">
        <v>21</v>
      </c>
      <c r="N3" t="s">
        <v>21</v>
      </c>
      <c r="O3" t="s">
        <v>21</v>
      </c>
      <c r="P3" t="s">
        <v>21</v>
      </c>
      <c r="Q3" t="s">
        <v>21</v>
      </c>
      <c r="R3" t="s">
        <v>23</v>
      </c>
    </row>
    <row r="4" spans="1:458" x14ac:dyDescent="0.25">
      <c r="A4">
        <v>3</v>
      </c>
      <c r="B4">
        <v>48</v>
      </c>
      <c r="C4">
        <v>91</v>
      </c>
      <c r="D4">
        <v>1.6763999999999999</v>
      </c>
      <c r="E4" t="s">
        <v>25</v>
      </c>
      <c r="F4" t="s">
        <v>26</v>
      </c>
      <c r="G4">
        <f t="shared" si="0"/>
        <v>32.380689187457349</v>
      </c>
      <c r="H4" t="s">
        <v>22</v>
      </c>
      <c r="I4" t="s">
        <v>22</v>
      </c>
      <c r="J4" t="s">
        <v>22</v>
      </c>
      <c r="K4" t="s">
        <v>22</v>
      </c>
      <c r="L4" t="s">
        <v>21</v>
      </c>
      <c r="M4" t="s">
        <v>22</v>
      </c>
      <c r="N4" t="s">
        <v>22</v>
      </c>
      <c r="O4" t="s">
        <v>22</v>
      </c>
      <c r="P4" t="s">
        <v>22</v>
      </c>
      <c r="Q4" t="s">
        <v>21</v>
      </c>
      <c r="R4" t="s">
        <v>23</v>
      </c>
    </row>
    <row r="5" spans="1:458" x14ac:dyDescent="0.25">
      <c r="A5">
        <v>4</v>
      </c>
      <c r="B5">
        <v>69</v>
      </c>
      <c r="C5">
        <v>79</v>
      </c>
      <c r="D5">
        <v>1.6763999999999999</v>
      </c>
      <c r="E5" t="s">
        <v>18</v>
      </c>
      <c r="F5" t="s">
        <v>27</v>
      </c>
      <c r="G5">
        <f t="shared" si="0"/>
        <v>28.110708195704731</v>
      </c>
      <c r="H5" t="s">
        <v>21</v>
      </c>
      <c r="I5" t="s">
        <v>21</v>
      </c>
      <c r="J5" t="s">
        <v>22</v>
      </c>
      <c r="K5" t="s">
        <v>21</v>
      </c>
      <c r="L5" t="s">
        <v>21</v>
      </c>
      <c r="M5" t="s">
        <v>22</v>
      </c>
      <c r="N5" t="s">
        <v>22</v>
      </c>
      <c r="O5" t="s">
        <v>22</v>
      </c>
      <c r="P5" t="s">
        <v>22</v>
      </c>
      <c r="Q5" t="s">
        <v>21</v>
      </c>
      <c r="R5" t="s">
        <v>23</v>
      </c>
    </row>
    <row r="6" spans="1:458" x14ac:dyDescent="0.25">
      <c r="A6">
        <v>5</v>
      </c>
      <c r="B6">
        <v>58</v>
      </c>
      <c r="C6">
        <v>88</v>
      </c>
      <c r="D6">
        <v>1.7018</v>
      </c>
      <c r="E6" t="s">
        <v>25</v>
      </c>
      <c r="F6" s="1"/>
      <c r="G6">
        <f t="shared" si="0"/>
        <v>30.385447271228692</v>
      </c>
      <c r="H6" t="s">
        <v>21</v>
      </c>
      <c r="I6" t="s">
        <v>21</v>
      </c>
      <c r="J6" t="s">
        <v>21</v>
      </c>
      <c r="K6" t="s">
        <v>21</v>
      </c>
      <c r="L6" t="s">
        <v>21</v>
      </c>
      <c r="M6" t="s">
        <v>21</v>
      </c>
      <c r="N6" t="s">
        <v>21</v>
      </c>
      <c r="O6" t="s">
        <v>21</v>
      </c>
      <c r="P6" t="s">
        <v>21</v>
      </c>
      <c r="Q6" t="s">
        <v>21</v>
      </c>
      <c r="R6" t="s">
        <v>23</v>
      </c>
    </row>
    <row r="7" spans="1:458" x14ac:dyDescent="0.25">
      <c r="A7">
        <v>6</v>
      </c>
      <c r="B7">
        <v>70</v>
      </c>
      <c r="C7">
        <v>60</v>
      </c>
      <c r="D7">
        <v>1.651</v>
      </c>
      <c r="E7" t="s">
        <v>25</v>
      </c>
      <c r="F7" s="2"/>
      <c r="G7">
        <f t="shared" si="0"/>
        <v>22.011878343283314</v>
      </c>
      <c r="H7" t="s">
        <v>20</v>
      </c>
      <c r="I7" t="s">
        <v>21</v>
      </c>
      <c r="J7" t="s">
        <v>20</v>
      </c>
      <c r="K7" t="s">
        <v>20</v>
      </c>
      <c r="L7" t="s">
        <v>21</v>
      </c>
      <c r="M7" t="s">
        <v>21</v>
      </c>
      <c r="N7" t="s">
        <v>22</v>
      </c>
      <c r="O7" t="s">
        <v>22</v>
      </c>
      <c r="P7" t="s">
        <v>22</v>
      </c>
      <c r="Q7" t="s">
        <v>21</v>
      </c>
      <c r="R7" t="s">
        <v>23</v>
      </c>
    </row>
    <row r="8" spans="1:458" x14ac:dyDescent="0.25">
      <c r="A8">
        <v>7</v>
      </c>
      <c r="B8">
        <v>80</v>
      </c>
      <c r="C8" s="2"/>
      <c r="D8">
        <v>1.6763999999999999</v>
      </c>
      <c r="E8" t="s">
        <v>25</v>
      </c>
      <c r="F8" t="s">
        <v>31</v>
      </c>
      <c r="G8" s="2">
        <f t="shared" si="0"/>
        <v>0</v>
      </c>
      <c r="H8" t="s">
        <v>21</v>
      </c>
      <c r="I8" t="s">
        <v>21</v>
      </c>
      <c r="J8" t="s">
        <v>21</v>
      </c>
      <c r="K8" t="s">
        <v>21</v>
      </c>
      <c r="L8" t="s">
        <v>21</v>
      </c>
      <c r="M8" t="s">
        <v>20</v>
      </c>
      <c r="N8" t="s">
        <v>22</v>
      </c>
      <c r="O8" t="s">
        <v>21</v>
      </c>
      <c r="P8" t="s">
        <v>22</v>
      </c>
      <c r="Q8" t="s">
        <v>21</v>
      </c>
      <c r="R8" t="s">
        <v>23</v>
      </c>
    </row>
    <row r="9" spans="1:458" x14ac:dyDescent="0.25">
      <c r="A9">
        <v>8</v>
      </c>
      <c r="B9">
        <v>48</v>
      </c>
      <c r="C9">
        <v>92</v>
      </c>
      <c r="D9">
        <v>1.70688</v>
      </c>
      <c r="E9" t="s">
        <v>18</v>
      </c>
      <c r="F9" t="s">
        <v>19</v>
      </c>
      <c r="G9">
        <f t="shared" si="0"/>
        <v>31.577798416367809</v>
      </c>
      <c r="H9" t="s">
        <v>20</v>
      </c>
      <c r="I9" t="s">
        <v>20</v>
      </c>
      <c r="J9" t="s">
        <v>22</v>
      </c>
      <c r="K9" t="s">
        <v>20</v>
      </c>
      <c r="L9" t="s">
        <v>22</v>
      </c>
      <c r="M9" t="s">
        <v>22</v>
      </c>
      <c r="N9" t="s">
        <v>22</v>
      </c>
      <c r="O9" t="s">
        <v>22</v>
      </c>
      <c r="P9" t="s">
        <v>22</v>
      </c>
      <c r="Q9" t="s">
        <v>21</v>
      </c>
      <c r="R9" t="s">
        <v>23</v>
      </c>
      <c r="QP9" t="e" cm="1">
        <f t="array" ref="QP9">+PW8EA9:QP9</f>
        <v>#NAME?</v>
      </c>
    </row>
    <row r="10" spans="1:458" x14ac:dyDescent="0.25">
      <c r="A10">
        <v>9</v>
      </c>
      <c r="B10">
        <v>52</v>
      </c>
      <c r="C10">
        <v>52</v>
      </c>
      <c r="D10">
        <v>1.524</v>
      </c>
      <c r="E10" t="s">
        <v>25</v>
      </c>
      <c r="F10" t="s">
        <v>32</v>
      </c>
      <c r="G10">
        <f t="shared" si="0"/>
        <v>22.38893366675622</v>
      </c>
      <c r="H10" t="s">
        <v>21</v>
      </c>
      <c r="I10" t="s">
        <v>22</v>
      </c>
      <c r="J10" t="s">
        <v>22</v>
      </c>
      <c r="K10" t="s">
        <v>22</v>
      </c>
      <c r="L10" t="s">
        <v>22</v>
      </c>
      <c r="M10" t="s">
        <v>21</v>
      </c>
      <c r="N10" t="s">
        <v>22</v>
      </c>
      <c r="O10" t="s">
        <v>22</v>
      </c>
      <c r="P10" t="s">
        <v>21</v>
      </c>
      <c r="Q10" t="s">
        <v>22</v>
      </c>
      <c r="R10" t="s">
        <v>23</v>
      </c>
    </row>
    <row r="11" spans="1:458" x14ac:dyDescent="0.25">
      <c r="A11">
        <v>10</v>
      </c>
      <c r="B11">
        <v>70</v>
      </c>
      <c r="C11">
        <v>55</v>
      </c>
      <c r="D11">
        <v>1.7678400000000001</v>
      </c>
      <c r="E11" t="s">
        <v>18</v>
      </c>
      <c r="F11" t="s">
        <v>19</v>
      </c>
      <c r="G11">
        <f t="shared" si="0"/>
        <v>17.598545568342292</v>
      </c>
      <c r="H11" t="s">
        <v>20</v>
      </c>
      <c r="I11" t="s">
        <v>21</v>
      </c>
      <c r="J11" t="s">
        <v>20</v>
      </c>
      <c r="K11" t="s">
        <v>21</v>
      </c>
      <c r="L11" t="s">
        <v>21</v>
      </c>
      <c r="M11" t="s">
        <v>20</v>
      </c>
      <c r="N11" t="s">
        <v>21</v>
      </c>
      <c r="O11" t="s">
        <v>21</v>
      </c>
      <c r="P11" t="s">
        <v>22</v>
      </c>
      <c r="Q11" t="s">
        <v>22</v>
      </c>
      <c r="R11" t="s">
        <v>23</v>
      </c>
    </row>
    <row r="12" spans="1:458" x14ac:dyDescent="0.25">
      <c r="A12">
        <v>11</v>
      </c>
      <c r="B12">
        <v>39</v>
      </c>
      <c r="C12">
        <v>46</v>
      </c>
      <c r="D12">
        <v>1.524</v>
      </c>
      <c r="E12" t="s">
        <v>18</v>
      </c>
      <c r="F12" t="s">
        <v>19</v>
      </c>
      <c r="G12">
        <f t="shared" si="0"/>
        <v>19.805595166745888</v>
      </c>
      <c r="H12" t="s">
        <v>22</v>
      </c>
      <c r="I12" t="s">
        <v>22</v>
      </c>
      <c r="J12" t="s">
        <v>22</v>
      </c>
      <c r="K12" t="s">
        <v>20</v>
      </c>
      <c r="L12" t="s">
        <v>22</v>
      </c>
      <c r="M12" t="s">
        <v>22</v>
      </c>
      <c r="N12" t="s">
        <v>22</v>
      </c>
      <c r="O12" t="s">
        <v>22</v>
      </c>
      <c r="P12" t="s">
        <v>21</v>
      </c>
      <c r="Q12" t="s">
        <v>21</v>
      </c>
      <c r="R12" t="s">
        <v>23</v>
      </c>
    </row>
    <row r="13" spans="1:458" x14ac:dyDescent="0.25">
      <c r="A13">
        <v>12</v>
      </c>
      <c r="B13">
        <v>46</v>
      </c>
      <c r="C13">
        <v>60</v>
      </c>
      <c r="D13">
        <v>1.64592</v>
      </c>
      <c r="E13" t="s">
        <v>18</v>
      </c>
      <c r="F13" t="s">
        <v>34</v>
      </c>
      <c r="G13">
        <f t="shared" si="0"/>
        <v>22.147963820390377</v>
      </c>
      <c r="H13" t="s">
        <v>20</v>
      </c>
      <c r="I13" t="s">
        <v>20</v>
      </c>
      <c r="J13" t="s">
        <v>20</v>
      </c>
      <c r="K13" t="s">
        <v>20</v>
      </c>
      <c r="L13" t="s">
        <v>20</v>
      </c>
      <c r="M13" t="s">
        <v>20</v>
      </c>
      <c r="N13" t="s">
        <v>20</v>
      </c>
      <c r="O13" t="s">
        <v>22</v>
      </c>
      <c r="P13" t="s">
        <v>20</v>
      </c>
      <c r="Q13" t="s">
        <v>22</v>
      </c>
      <c r="R13" t="s">
        <v>23</v>
      </c>
    </row>
    <row r="14" spans="1:458" x14ac:dyDescent="0.25">
      <c r="A14">
        <v>13</v>
      </c>
      <c r="B14">
        <v>63</v>
      </c>
      <c r="C14">
        <v>58</v>
      </c>
      <c r="D14">
        <v>1.6763999999999999</v>
      </c>
      <c r="E14" s="2"/>
      <c r="F14" t="s">
        <v>19</v>
      </c>
      <c r="G14">
        <f t="shared" si="0"/>
        <v>20.63824146013765</v>
      </c>
      <c r="H14" t="s">
        <v>22</v>
      </c>
      <c r="I14" t="s">
        <v>22</v>
      </c>
      <c r="J14" t="s">
        <v>21</v>
      </c>
      <c r="K14" t="s">
        <v>22</v>
      </c>
      <c r="L14" t="s">
        <v>22</v>
      </c>
      <c r="M14" t="s">
        <v>22</v>
      </c>
      <c r="N14" t="s">
        <v>22</v>
      </c>
      <c r="O14" t="s">
        <v>22</v>
      </c>
      <c r="P14" t="s">
        <v>22</v>
      </c>
      <c r="Q14" t="s">
        <v>22</v>
      </c>
      <c r="R14" t="s">
        <v>23</v>
      </c>
    </row>
    <row r="15" spans="1:458" x14ac:dyDescent="0.25">
      <c r="A15">
        <v>14</v>
      </c>
      <c r="B15">
        <v>63</v>
      </c>
      <c r="C15">
        <v>52</v>
      </c>
      <c r="D15">
        <v>1.5849599999999999</v>
      </c>
      <c r="E15" t="s">
        <v>25</v>
      </c>
      <c r="F15" t="s">
        <v>31</v>
      </c>
      <c r="G15">
        <f t="shared" si="0"/>
        <v>20.699827724441775</v>
      </c>
      <c r="H15" t="s">
        <v>21</v>
      </c>
      <c r="I15" t="s">
        <v>21</v>
      </c>
      <c r="J15" t="s">
        <v>21</v>
      </c>
      <c r="K15" t="s">
        <v>21</v>
      </c>
      <c r="L15" t="s">
        <v>21</v>
      </c>
      <c r="M15" t="s">
        <v>21</v>
      </c>
      <c r="N15" t="s">
        <v>21</v>
      </c>
      <c r="O15" t="s">
        <v>21</v>
      </c>
      <c r="P15" t="s">
        <v>21</v>
      </c>
      <c r="Q15" t="s">
        <v>21</v>
      </c>
      <c r="R15" t="s">
        <v>23</v>
      </c>
    </row>
    <row r="16" spans="1:458" x14ac:dyDescent="0.25">
      <c r="A16">
        <v>15</v>
      </c>
      <c r="B16">
        <v>67</v>
      </c>
      <c r="C16">
        <v>48</v>
      </c>
      <c r="D16">
        <v>1.2527280000000001</v>
      </c>
      <c r="E16" t="s">
        <v>25</v>
      </c>
      <c r="F16" t="s">
        <v>35</v>
      </c>
      <c r="G16">
        <f t="shared" si="0"/>
        <v>30.586351016277824</v>
      </c>
      <c r="H16" t="s">
        <v>21</v>
      </c>
      <c r="I16" t="s">
        <v>22</v>
      </c>
      <c r="J16" t="s">
        <v>21</v>
      </c>
      <c r="K16" t="s">
        <v>22</v>
      </c>
      <c r="L16" t="s">
        <v>22</v>
      </c>
      <c r="M16" t="s">
        <v>21</v>
      </c>
      <c r="N16" t="s">
        <v>22</v>
      </c>
      <c r="O16" t="s">
        <v>21</v>
      </c>
      <c r="P16" t="s">
        <v>22</v>
      </c>
      <c r="Q16" t="s">
        <v>22</v>
      </c>
      <c r="R16" t="s">
        <v>23</v>
      </c>
    </row>
    <row r="17" spans="1:18" x14ac:dyDescent="0.25">
      <c r="A17">
        <v>16</v>
      </c>
      <c r="B17">
        <v>71</v>
      </c>
      <c r="C17">
        <v>45</v>
      </c>
      <c r="D17">
        <v>1.6255999999999999</v>
      </c>
      <c r="E17" t="s">
        <v>30</v>
      </c>
      <c r="F17" t="s">
        <v>27</v>
      </c>
      <c r="G17">
        <f t="shared" si="0"/>
        <v>17.028842651435305</v>
      </c>
      <c r="H17" t="s">
        <v>22</v>
      </c>
      <c r="I17" t="s">
        <v>21</v>
      </c>
      <c r="J17" t="s">
        <v>21</v>
      </c>
      <c r="K17" t="s">
        <v>21</v>
      </c>
      <c r="L17" t="s">
        <v>21</v>
      </c>
      <c r="M17" t="s">
        <v>21</v>
      </c>
      <c r="N17" t="s">
        <v>21</v>
      </c>
      <c r="O17" t="s">
        <v>21</v>
      </c>
      <c r="P17" t="s">
        <v>21</v>
      </c>
      <c r="Q17" t="s">
        <v>21</v>
      </c>
      <c r="R17" t="s">
        <v>23</v>
      </c>
    </row>
    <row r="18" spans="1:18" x14ac:dyDescent="0.25">
      <c r="A18">
        <v>17</v>
      </c>
      <c r="B18">
        <v>46</v>
      </c>
      <c r="C18">
        <v>42</v>
      </c>
      <c r="D18">
        <v>1.5544800000000001</v>
      </c>
      <c r="E18" t="s">
        <v>25</v>
      </c>
      <c r="F18" t="s">
        <v>37</v>
      </c>
      <c r="G18">
        <f t="shared" si="0"/>
        <v>17.381170223060682</v>
      </c>
      <c r="H18" t="s">
        <v>21</v>
      </c>
      <c r="I18" t="s">
        <v>22</v>
      </c>
      <c r="J18" t="s">
        <v>22</v>
      </c>
      <c r="K18" t="s">
        <v>22</v>
      </c>
      <c r="L18" t="s">
        <v>22</v>
      </c>
      <c r="M18" t="s">
        <v>21</v>
      </c>
      <c r="N18" t="s">
        <v>22</v>
      </c>
      <c r="O18" t="s">
        <v>22</v>
      </c>
      <c r="P18" t="s">
        <v>22</v>
      </c>
      <c r="Q18" t="s">
        <v>22</v>
      </c>
      <c r="R18" t="s">
        <v>23</v>
      </c>
    </row>
    <row r="19" spans="1:18" x14ac:dyDescent="0.25">
      <c r="A19">
        <v>18</v>
      </c>
      <c r="B19">
        <v>76</v>
      </c>
      <c r="C19">
        <v>70</v>
      </c>
      <c r="D19">
        <v>1.73736</v>
      </c>
      <c r="E19" s="3" t="s">
        <v>25</v>
      </c>
      <c r="F19" s="2"/>
      <c r="G19">
        <f>(C19)/D19^2</f>
        <v>23.190942726059728</v>
      </c>
      <c r="H19" t="s">
        <v>22</v>
      </c>
      <c r="I19" t="s">
        <v>20</v>
      </c>
      <c r="J19" t="s">
        <v>21</v>
      </c>
      <c r="K19" t="s">
        <v>21</v>
      </c>
      <c r="L19" t="s">
        <v>22</v>
      </c>
      <c r="M19" t="s">
        <v>20</v>
      </c>
      <c r="N19" t="s">
        <v>20</v>
      </c>
      <c r="O19" t="s">
        <v>21</v>
      </c>
      <c r="P19" t="s">
        <v>22</v>
      </c>
      <c r="Q19" t="s">
        <v>20</v>
      </c>
      <c r="R19" t="s">
        <v>23</v>
      </c>
    </row>
    <row r="20" spans="1:18" x14ac:dyDescent="0.25">
      <c r="A20">
        <v>19</v>
      </c>
      <c r="B20">
        <v>55</v>
      </c>
      <c r="C20">
        <v>50</v>
      </c>
      <c r="D20">
        <v>1.61544</v>
      </c>
      <c r="E20" s="3" t="s">
        <v>25</v>
      </c>
      <c r="F20" t="s">
        <v>19</v>
      </c>
      <c r="G20">
        <f t="shared" si="0"/>
        <v>19.159683903007696</v>
      </c>
      <c r="H20" t="s">
        <v>38</v>
      </c>
      <c r="I20" t="s">
        <v>22</v>
      </c>
      <c r="J20" t="s">
        <v>22</v>
      </c>
      <c r="K20" t="s">
        <v>22</v>
      </c>
      <c r="L20" t="s">
        <v>22</v>
      </c>
      <c r="M20" t="s">
        <v>21</v>
      </c>
      <c r="N20" t="s">
        <v>22</v>
      </c>
      <c r="O20" t="s">
        <v>22</v>
      </c>
      <c r="P20" t="s">
        <v>20</v>
      </c>
      <c r="Q20" t="s">
        <v>22</v>
      </c>
      <c r="R20" t="s">
        <v>23</v>
      </c>
    </row>
    <row r="21" spans="1:18" x14ac:dyDescent="0.25">
      <c r="A21">
        <v>20</v>
      </c>
      <c r="B21">
        <v>46</v>
      </c>
      <c r="C21">
        <v>55</v>
      </c>
      <c r="D21">
        <v>1.5849599999999999</v>
      </c>
      <c r="E21" s="3" t="s">
        <v>25</v>
      </c>
      <c r="F21" t="s">
        <v>31</v>
      </c>
      <c r="G21">
        <f t="shared" si="0"/>
        <v>21.894048554698031</v>
      </c>
      <c r="H21" t="s">
        <v>22</v>
      </c>
      <c r="I21" t="s">
        <v>22</v>
      </c>
      <c r="J21" t="s">
        <v>22</v>
      </c>
      <c r="K21" t="s">
        <v>20</v>
      </c>
      <c r="L21" t="s">
        <v>22</v>
      </c>
      <c r="M21" t="s">
        <v>22</v>
      </c>
      <c r="N21" t="s">
        <v>22</v>
      </c>
      <c r="O21" t="s">
        <v>22</v>
      </c>
      <c r="P21" t="s">
        <v>21</v>
      </c>
      <c r="Q21" t="s">
        <v>22</v>
      </c>
      <c r="R21" t="s">
        <v>23</v>
      </c>
    </row>
    <row r="22" spans="1:18" x14ac:dyDescent="0.25">
      <c r="A22">
        <v>21</v>
      </c>
      <c r="B22">
        <v>64</v>
      </c>
      <c r="C22">
        <v>52</v>
      </c>
      <c r="D22">
        <v>1.64592</v>
      </c>
      <c r="E22" s="3" t="s">
        <v>18</v>
      </c>
      <c r="F22" t="s">
        <v>31</v>
      </c>
      <c r="G22">
        <f t="shared" si="0"/>
        <v>19.194901977671659</v>
      </c>
      <c r="H22" t="s">
        <v>21</v>
      </c>
      <c r="I22" t="s">
        <v>22</v>
      </c>
      <c r="J22" t="s">
        <v>22</v>
      </c>
      <c r="K22" t="s">
        <v>22</v>
      </c>
      <c r="L22" t="s">
        <v>22</v>
      </c>
      <c r="M22" t="s">
        <v>21</v>
      </c>
      <c r="N22" t="s">
        <v>22</v>
      </c>
      <c r="O22" t="s">
        <v>22</v>
      </c>
      <c r="P22" t="s">
        <v>21</v>
      </c>
      <c r="Q22" t="s">
        <v>22</v>
      </c>
      <c r="R22" t="s">
        <v>23</v>
      </c>
    </row>
    <row r="23" spans="1:18" x14ac:dyDescent="0.25">
      <c r="A23">
        <v>22</v>
      </c>
      <c r="B23">
        <v>47</v>
      </c>
      <c r="C23">
        <v>66</v>
      </c>
      <c r="D23">
        <v>1.73736</v>
      </c>
      <c r="E23" s="3" t="s">
        <v>25</v>
      </c>
      <c r="F23" t="s">
        <v>31</v>
      </c>
      <c r="G23">
        <f t="shared" si="0"/>
        <v>21.865745998856315</v>
      </c>
      <c r="H23" t="s">
        <v>22</v>
      </c>
      <c r="I23" t="s">
        <v>21</v>
      </c>
      <c r="J23" t="s">
        <v>21</v>
      </c>
      <c r="K23" t="s">
        <v>21</v>
      </c>
      <c r="L23" t="s">
        <v>21</v>
      </c>
      <c r="M23" t="s">
        <v>21</v>
      </c>
      <c r="N23" t="s">
        <v>21</v>
      </c>
      <c r="O23" t="s">
        <v>21</v>
      </c>
      <c r="P23" t="s">
        <v>21</v>
      </c>
      <c r="Q23" t="s">
        <v>22</v>
      </c>
      <c r="R23" t="s">
        <v>23</v>
      </c>
    </row>
    <row r="24" spans="1:18" x14ac:dyDescent="0.25">
      <c r="A24">
        <v>23</v>
      </c>
      <c r="B24">
        <v>36</v>
      </c>
      <c r="C24">
        <v>69</v>
      </c>
      <c r="D24">
        <v>1.6763999999999999</v>
      </c>
      <c r="E24" s="3" t="s">
        <v>25</v>
      </c>
      <c r="F24" t="s">
        <v>26</v>
      </c>
      <c r="G24">
        <f t="shared" si="0"/>
        <v>24.552390702577551</v>
      </c>
      <c r="H24" t="s">
        <v>21</v>
      </c>
      <c r="I24" t="s">
        <v>22</v>
      </c>
      <c r="J24" t="s">
        <v>20</v>
      </c>
      <c r="K24" t="s">
        <v>22</v>
      </c>
      <c r="L24" t="s">
        <v>22</v>
      </c>
      <c r="M24" t="s">
        <v>22</v>
      </c>
      <c r="N24" t="s">
        <v>22</v>
      </c>
      <c r="O24" t="s">
        <v>22</v>
      </c>
      <c r="P24" t="s">
        <v>22</v>
      </c>
      <c r="Q24" t="s">
        <v>20</v>
      </c>
      <c r="R24" t="s">
        <v>23</v>
      </c>
    </row>
    <row r="25" spans="1:18" x14ac:dyDescent="0.25">
      <c r="A25">
        <v>24</v>
      </c>
      <c r="B25">
        <v>63</v>
      </c>
      <c r="C25">
        <v>58</v>
      </c>
      <c r="D25">
        <v>1.6763999999999999</v>
      </c>
      <c r="E25" s="3" t="s">
        <v>25</v>
      </c>
      <c r="F25" t="s">
        <v>19</v>
      </c>
      <c r="G25">
        <f t="shared" si="0"/>
        <v>20.63824146013765</v>
      </c>
      <c r="H25" t="s">
        <v>22</v>
      </c>
      <c r="I25" t="s">
        <v>22</v>
      </c>
      <c r="J25" t="s">
        <v>21</v>
      </c>
      <c r="K25" t="s">
        <v>22</v>
      </c>
      <c r="L25" t="s">
        <v>22</v>
      </c>
      <c r="M25" t="s">
        <v>22</v>
      </c>
      <c r="N25" t="s">
        <v>22</v>
      </c>
      <c r="O25" t="s">
        <v>22</v>
      </c>
      <c r="P25" t="s">
        <v>22</v>
      </c>
      <c r="Q25" t="s">
        <v>22</v>
      </c>
      <c r="R25" t="s">
        <v>23</v>
      </c>
    </row>
    <row r="26" spans="1:18" x14ac:dyDescent="0.25">
      <c r="A26">
        <v>25</v>
      </c>
      <c r="B26">
        <v>53</v>
      </c>
      <c r="C26">
        <v>55</v>
      </c>
      <c r="D26">
        <v>1.524</v>
      </c>
      <c r="E26" s="3" t="s">
        <v>25</v>
      </c>
      <c r="F26" t="s">
        <v>27</v>
      </c>
      <c r="G26">
        <f t="shared" si="0"/>
        <v>23.680602916761387</v>
      </c>
      <c r="H26" t="s">
        <v>20</v>
      </c>
      <c r="I26" t="s">
        <v>20</v>
      </c>
      <c r="J26" t="s">
        <v>20</v>
      </c>
      <c r="K26" t="s">
        <v>20</v>
      </c>
      <c r="L26" t="s">
        <v>22</v>
      </c>
      <c r="M26" t="s">
        <v>22</v>
      </c>
      <c r="N26" t="s">
        <v>20</v>
      </c>
      <c r="O26" t="s">
        <v>20</v>
      </c>
      <c r="P26" t="s">
        <v>22</v>
      </c>
      <c r="Q26" t="s">
        <v>22</v>
      </c>
      <c r="R26" t="s">
        <v>23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Sheet2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MIAH ANGELA TO</dc:creator>
  <cp:lastModifiedBy>MIAH ANGELA TO</cp:lastModifiedBy>
  <dcterms:created xsi:type="dcterms:W3CDTF">2025-11-18T12:23:28Z</dcterms:created>
  <dcterms:modified xsi:type="dcterms:W3CDTF">2025-11-21T08:21:27Z</dcterms:modified>
</cp:coreProperties>
</file>